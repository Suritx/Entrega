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rit\OneDrive\Documentos\ENTREGANACHO\"/>
    </mc:Choice>
  </mc:AlternateContent>
  <xr:revisionPtr revIDLastSave="2" documentId="8_{4A54D821-2E1C-4043-A485-3F9ED3FE6876}" xr6:coauthVersionLast="41" xr6:coauthVersionMax="41" xr10:uidLastSave="{893DFDFC-64EF-4D3C-80DB-9D2AFB63C26E}"/>
  <bookViews>
    <workbookView xWindow="-120" yWindow="-120" windowWidth="20730" windowHeight="11160" xr2:uid="{85534E21-A785-4489-A72B-6F58DECBBB56}"/>
  </bookViews>
  <sheets>
    <sheet name="Hoja22" sheetId="41" r:id="rId1"/>
    <sheet name="Hoja21" sheetId="40" r:id="rId2"/>
    <sheet name="Hoja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I2" i="1" l="1"/>
  <c r="I3" i="1"/>
  <c r="I6" i="1" s="1"/>
  <c r="I5" i="1" s="1"/>
  <c r="E13" i="1"/>
  <c r="E5" i="1"/>
  <c r="E6" i="1"/>
  <c r="E7" i="1"/>
  <c r="E8" i="1"/>
  <c r="E9" i="1"/>
  <c r="E10" i="1"/>
  <c r="E11" i="1"/>
  <c r="E12" i="1"/>
  <c r="E4" i="1"/>
  <c r="E3" i="1"/>
  <c r="F13" i="1"/>
  <c r="D13" i="1"/>
  <c r="C13" i="1"/>
  <c r="F5" i="1"/>
  <c r="F6" i="1"/>
  <c r="F7" i="1"/>
  <c r="F8" i="1"/>
  <c r="F9" i="1"/>
  <c r="F10" i="1"/>
  <c r="F11" i="1"/>
  <c r="F12" i="1"/>
  <c r="F4" i="1"/>
  <c r="F3" i="1"/>
  <c r="D5" i="1"/>
  <c r="D6" i="1"/>
  <c r="D7" i="1"/>
  <c r="D8" i="1"/>
  <c r="D9" i="1"/>
  <c r="D10" i="1"/>
  <c r="D11" i="1"/>
  <c r="D12" i="1"/>
  <c r="D4" i="1"/>
  <c r="D3" i="1"/>
</calcChain>
</file>

<file path=xl/sharedStrings.xml><?xml version="1.0" encoding="utf-8"?>
<sst xmlns="http://schemas.openxmlformats.org/spreadsheetml/2006/main" count="30" uniqueCount="15">
  <si>
    <t>Regresión de minímos cuadrados</t>
  </si>
  <si>
    <t>X</t>
  </si>
  <si>
    <t>Y</t>
  </si>
  <si>
    <t>n</t>
  </si>
  <si>
    <t>X^2</t>
  </si>
  <si>
    <t>Y^2</t>
  </si>
  <si>
    <t>Sumas:</t>
  </si>
  <si>
    <t>XY</t>
  </si>
  <si>
    <r>
      <t>SC</t>
    </r>
    <r>
      <rPr>
        <sz val="9"/>
        <color theme="1"/>
        <rFont val="Abadi"/>
        <family val="2"/>
      </rPr>
      <t>XY</t>
    </r>
  </si>
  <si>
    <r>
      <t>SC</t>
    </r>
    <r>
      <rPr>
        <sz val="9"/>
        <color theme="1"/>
        <rFont val="Abadi"/>
        <family val="2"/>
      </rPr>
      <t>X</t>
    </r>
  </si>
  <si>
    <t>a</t>
  </si>
  <si>
    <t>b</t>
  </si>
  <si>
    <t>x^2</t>
  </si>
  <si>
    <t>SCx</t>
  </si>
  <si>
    <t>SCxy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</si>
</sst>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9"/>
      <color theme="1"/>
      <name val="Abad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48C0B-ECF7-4338-AFEF-B93542017EA4}">
  <sheetPr codeName="Hoja22"/>
  <dimension ref="A2:I6"/>
  <sheetViews>
    <sheetView tabSelected="1" workbookViewId="0"/>
  </sheetViews>
  <sheetFormatPr baseColWidth="10" defaultRowHeight="15" x14ac:dyDescent="0.25"/>
  <sheetData>
    <row r="2" spans="1:9" x14ac:dyDescent="0.25">
      <c r="A2" t="s">
        <v>3</v>
      </c>
      <c r="B2" t="s">
        <v>1</v>
      </c>
      <c r="C2" t="s">
        <v>2</v>
      </c>
      <c r="D2" t="s">
        <v>12</v>
      </c>
      <c r="H2" t="s">
        <v>13</v>
      </c>
      <c r="I2">
        <v>0.5</v>
      </c>
    </row>
    <row r="3" spans="1:9" x14ac:dyDescent="0.25">
      <c r="A3">
        <v>1</v>
      </c>
      <c r="B3">
        <v>2</v>
      </c>
      <c r="C3">
        <v>4</v>
      </c>
      <c r="D3">
        <v>4</v>
      </c>
      <c r="E3">
        <v>8</v>
      </c>
      <c r="F3">
        <v>16</v>
      </c>
      <c r="H3" t="s">
        <v>14</v>
      </c>
      <c r="I3">
        <v>-1.5</v>
      </c>
    </row>
    <row r="4" spans="1:9" x14ac:dyDescent="0.25">
      <c r="A4">
        <v>2</v>
      </c>
      <c r="B4">
        <v>3</v>
      </c>
      <c r="C4">
        <v>1</v>
      </c>
      <c r="D4">
        <v>9</v>
      </c>
      <c r="E4">
        <v>3</v>
      </c>
      <c r="F4">
        <v>1</v>
      </c>
    </row>
    <row r="5" spans="1:9" x14ac:dyDescent="0.25">
      <c r="A5" t="s">
        <v>6</v>
      </c>
      <c r="B5">
        <v>5</v>
      </c>
      <c r="C5">
        <v>5</v>
      </c>
      <c r="D5">
        <v>13</v>
      </c>
      <c r="E5">
        <v>11</v>
      </c>
      <c r="F5">
        <v>17</v>
      </c>
      <c r="H5" t="s">
        <v>10</v>
      </c>
      <c r="I5">
        <v>10</v>
      </c>
    </row>
    <row r="6" spans="1:9" x14ac:dyDescent="0.25">
      <c r="H6" t="s">
        <v>11</v>
      </c>
      <c r="I6">
        <v>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8AE72-E4DD-4CA1-9AB1-E503E9E79131}">
  <sheetPr codeName="Hoja21"/>
  <dimension ref="A2:I13"/>
  <sheetViews>
    <sheetView workbookViewId="0">
      <selection activeCell="G16" sqref="G16"/>
    </sheetView>
  </sheetViews>
  <sheetFormatPr baseColWidth="10" defaultRowHeight="15" x14ac:dyDescent="0.25"/>
  <sheetData>
    <row r="2" spans="1:9" x14ac:dyDescent="0.25">
      <c r="A2" t="s">
        <v>3</v>
      </c>
      <c r="B2" t="s">
        <v>1</v>
      </c>
      <c r="C2" t="s">
        <v>2</v>
      </c>
      <c r="D2" t="s">
        <v>12</v>
      </c>
      <c r="H2" t="s">
        <v>13</v>
      </c>
      <c r="I2">
        <v>2405.5999999999985</v>
      </c>
    </row>
    <row r="3" spans="1:9" x14ac:dyDescent="0.25">
      <c r="A3">
        <v>1</v>
      </c>
      <c r="B3">
        <v>39</v>
      </c>
      <c r="C3">
        <v>65</v>
      </c>
      <c r="D3">
        <v>1521</v>
      </c>
      <c r="E3">
        <v>2535</v>
      </c>
      <c r="F3">
        <v>4225</v>
      </c>
      <c r="H3" t="s">
        <v>14</v>
      </c>
      <c r="I3">
        <v>1882</v>
      </c>
    </row>
    <row r="4" spans="1:9" x14ac:dyDescent="0.25">
      <c r="A4">
        <v>2</v>
      </c>
      <c r="B4">
        <v>43</v>
      </c>
      <c r="C4">
        <v>78</v>
      </c>
      <c r="D4">
        <v>1849</v>
      </c>
      <c r="E4">
        <v>3354</v>
      </c>
      <c r="F4">
        <v>6084</v>
      </c>
    </row>
    <row r="5" spans="1:9" x14ac:dyDescent="0.25">
      <c r="A5">
        <v>3</v>
      </c>
      <c r="B5">
        <v>21</v>
      </c>
      <c r="C5">
        <v>52</v>
      </c>
      <c r="D5">
        <v>441</v>
      </c>
      <c r="E5">
        <v>1092</v>
      </c>
      <c r="F5">
        <v>2704</v>
      </c>
      <c r="H5" t="s">
        <v>10</v>
      </c>
      <c r="I5">
        <v>9.9687728633188968</v>
      </c>
    </row>
    <row r="6" spans="1:9" x14ac:dyDescent="0.25">
      <c r="A6">
        <v>4</v>
      </c>
      <c r="B6">
        <v>64</v>
      </c>
      <c r="C6">
        <v>82</v>
      </c>
      <c r="D6">
        <v>3844</v>
      </c>
      <c r="E6">
        <v>5084</v>
      </c>
      <c r="F6">
        <v>6724</v>
      </c>
      <c r="H6" t="s">
        <v>11</v>
      </c>
      <c r="I6">
        <v>0.78234120385766592</v>
      </c>
    </row>
    <row r="7" spans="1:9" x14ac:dyDescent="0.25">
      <c r="A7">
        <v>5</v>
      </c>
      <c r="B7">
        <v>57</v>
      </c>
      <c r="C7">
        <v>92</v>
      </c>
      <c r="D7">
        <v>3249</v>
      </c>
      <c r="E7">
        <v>5244</v>
      </c>
      <c r="F7">
        <v>8464</v>
      </c>
    </row>
    <row r="8" spans="1:9" x14ac:dyDescent="0.25">
      <c r="A8">
        <v>6</v>
      </c>
      <c r="B8">
        <v>47</v>
      </c>
      <c r="C8">
        <v>89</v>
      </c>
      <c r="D8">
        <v>2209</v>
      </c>
      <c r="E8">
        <v>4183</v>
      </c>
      <c r="F8">
        <v>7921</v>
      </c>
    </row>
    <row r="9" spans="1:9" x14ac:dyDescent="0.25">
      <c r="A9">
        <v>7</v>
      </c>
      <c r="B9">
        <v>28</v>
      </c>
      <c r="C9">
        <v>73</v>
      </c>
      <c r="D9">
        <v>784</v>
      </c>
      <c r="E9">
        <v>2044</v>
      </c>
      <c r="F9">
        <v>5329</v>
      </c>
    </row>
    <row r="10" spans="1:9" x14ac:dyDescent="0.25">
      <c r="A10">
        <v>8</v>
      </c>
      <c r="B10">
        <v>75</v>
      </c>
      <c r="C10">
        <v>98</v>
      </c>
      <c r="D10">
        <v>5625</v>
      </c>
      <c r="E10">
        <v>7350</v>
      </c>
      <c r="F10">
        <v>9604</v>
      </c>
    </row>
    <row r="11" spans="1:9" x14ac:dyDescent="0.25">
      <c r="A11">
        <v>9</v>
      </c>
      <c r="B11">
        <v>34</v>
      </c>
      <c r="C11">
        <v>56</v>
      </c>
      <c r="D11">
        <v>1156</v>
      </c>
      <c r="E11">
        <v>1904</v>
      </c>
      <c r="F11">
        <v>3136</v>
      </c>
    </row>
    <row r="12" spans="1:9" x14ac:dyDescent="0.25">
      <c r="A12">
        <v>10</v>
      </c>
      <c r="B12">
        <v>52</v>
      </c>
      <c r="C12">
        <v>75</v>
      </c>
      <c r="D12">
        <v>2704</v>
      </c>
      <c r="E12">
        <v>3900</v>
      </c>
      <c r="F12">
        <v>5625</v>
      </c>
    </row>
    <row r="13" spans="1:9" x14ac:dyDescent="0.25">
      <c r="A13" t="s">
        <v>6</v>
      </c>
      <c r="B13">
        <v>458</v>
      </c>
      <c r="C13">
        <v>760</v>
      </c>
      <c r="D13">
        <v>23382</v>
      </c>
      <c r="E13">
        <v>36690</v>
      </c>
      <c r="F13">
        <v>59816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EF7C4-30CB-4A24-B086-E688A52FEB42}">
  <sheetPr codeName="Hoja1"/>
  <dimension ref="A1:I13"/>
  <sheetViews>
    <sheetView workbookViewId="0">
      <selection activeCell="I2" sqref="I2"/>
    </sheetView>
  </sheetViews>
  <sheetFormatPr baseColWidth="10" defaultRowHeight="14.25" x14ac:dyDescent="0.25"/>
  <cols>
    <col min="1" max="1" width="11.42578125" style="1"/>
    <col min="2" max="2" width="13.28515625" style="1" bestFit="1" customWidth="1"/>
    <col min="3" max="16384" width="11.42578125" style="1"/>
  </cols>
  <sheetData>
    <row r="1" spans="1:9" x14ac:dyDescent="0.25">
      <c r="A1" s="2" t="s">
        <v>0</v>
      </c>
      <c r="B1" s="2"/>
      <c r="C1" s="2"/>
      <c r="D1" s="2"/>
      <c r="E1" s="2"/>
      <c r="F1" s="2"/>
    </row>
    <row r="2" spans="1:9" x14ac:dyDescent="0.25">
      <c r="A2" s="1" t="s">
        <v>3</v>
      </c>
      <c r="B2" s="1" t="s">
        <v>1</v>
      </c>
      <c r="C2" s="1" t="s">
        <v>2</v>
      </c>
      <c r="D2" s="1" t="s">
        <v>4</v>
      </c>
      <c r="E2" s="1" t="s">
        <v>7</v>
      </c>
      <c r="F2" s="1" t="s">
        <v>5</v>
      </c>
      <c r="H2" s="1" t="s">
        <v>9</v>
      </c>
      <c r="I2" s="1">
        <f>D13-((B13*B13)/A12)</f>
        <v>2474</v>
      </c>
    </row>
    <row r="3" spans="1:9" x14ac:dyDescent="0.25">
      <c r="A3" s="1">
        <v>1</v>
      </c>
      <c r="B3" s="1">
        <v>39</v>
      </c>
      <c r="C3" s="1">
        <v>65</v>
      </c>
      <c r="D3" s="1">
        <f>B3*B3</f>
        <v>1521</v>
      </c>
      <c r="E3" s="1">
        <f>B3*C3</f>
        <v>2535</v>
      </c>
      <c r="F3" s="1">
        <f>C3*C3</f>
        <v>4225</v>
      </c>
      <c r="H3" s="1" t="s">
        <v>8</v>
      </c>
      <c r="I3" s="1">
        <f>E13-((B13*C13)/A12)</f>
        <v>1894</v>
      </c>
    </row>
    <row r="4" spans="1:9" x14ac:dyDescent="0.25">
      <c r="A4" s="1">
        <v>2</v>
      </c>
      <c r="B4" s="1">
        <v>43</v>
      </c>
      <c r="C4" s="1">
        <v>78</v>
      </c>
      <c r="D4" s="1">
        <f>B4*B4</f>
        <v>1849</v>
      </c>
      <c r="E4" s="1">
        <f>B4*C4</f>
        <v>3354</v>
      </c>
      <c r="F4" s="1">
        <f>C4*C4</f>
        <v>6084</v>
      </c>
    </row>
    <row r="5" spans="1:9" x14ac:dyDescent="0.25">
      <c r="A5" s="1">
        <v>3</v>
      </c>
      <c r="B5" s="1">
        <v>21</v>
      </c>
      <c r="C5" s="1">
        <v>52</v>
      </c>
      <c r="D5" s="1">
        <f t="shared" ref="D5:D12" si="0">B5*B5</f>
        <v>441</v>
      </c>
      <c r="E5" s="1">
        <f t="shared" ref="E5:E12" si="1">B5*C5</f>
        <v>1092</v>
      </c>
      <c r="F5" s="1">
        <f t="shared" ref="F5:F12" si="2">C5*C5</f>
        <v>2704</v>
      </c>
      <c r="H5" s="1" t="s">
        <v>10</v>
      </c>
      <c r="I5" s="1">
        <f>(C13/A12)-(I6*(B13/A12))</f>
        <v>40.784155214227972</v>
      </c>
    </row>
    <row r="6" spans="1:9" x14ac:dyDescent="0.25">
      <c r="A6" s="1">
        <v>4</v>
      </c>
      <c r="B6" s="1">
        <v>64</v>
      </c>
      <c r="C6" s="1">
        <v>82</v>
      </c>
      <c r="D6" s="1">
        <f t="shared" si="0"/>
        <v>4096</v>
      </c>
      <c r="E6" s="1">
        <f t="shared" si="1"/>
        <v>5248</v>
      </c>
      <c r="F6" s="1">
        <f t="shared" si="2"/>
        <v>6724</v>
      </c>
      <c r="H6" s="1" t="s">
        <v>11</v>
      </c>
      <c r="I6" s="1">
        <f>I3/I2</f>
        <v>0.76556184316895715</v>
      </c>
    </row>
    <row r="7" spans="1:9" x14ac:dyDescent="0.25">
      <c r="A7" s="1">
        <v>5</v>
      </c>
      <c r="B7" s="1">
        <v>57</v>
      </c>
      <c r="C7" s="1">
        <v>92</v>
      </c>
      <c r="D7" s="1">
        <f t="shared" si="0"/>
        <v>3249</v>
      </c>
      <c r="E7" s="1">
        <f t="shared" si="1"/>
        <v>5244</v>
      </c>
      <c r="F7" s="1">
        <f t="shared" si="2"/>
        <v>8464</v>
      </c>
    </row>
    <row r="8" spans="1:9" x14ac:dyDescent="0.25">
      <c r="A8" s="1">
        <v>6</v>
      </c>
      <c r="B8" s="1">
        <v>47</v>
      </c>
      <c r="C8" s="1">
        <v>89</v>
      </c>
      <c r="D8" s="1">
        <f t="shared" si="0"/>
        <v>2209</v>
      </c>
      <c r="E8" s="1">
        <f t="shared" si="1"/>
        <v>4183</v>
      </c>
      <c r="F8" s="1">
        <f t="shared" si="2"/>
        <v>7921</v>
      </c>
    </row>
    <row r="9" spans="1:9" x14ac:dyDescent="0.25">
      <c r="A9" s="1">
        <v>7</v>
      </c>
      <c r="B9" s="1">
        <v>28</v>
      </c>
      <c r="C9" s="1">
        <v>73</v>
      </c>
      <c r="D9" s="1">
        <f t="shared" si="0"/>
        <v>784</v>
      </c>
      <c r="E9" s="1">
        <f t="shared" si="1"/>
        <v>2044</v>
      </c>
      <c r="F9" s="1">
        <f t="shared" si="2"/>
        <v>5329</v>
      </c>
    </row>
    <row r="10" spans="1:9" x14ac:dyDescent="0.25">
      <c r="A10" s="1">
        <v>8</v>
      </c>
      <c r="B10" s="1">
        <v>75</v>
      </c>
      <c r="C10" s="1">
        <v>98</v>
      </c>
      <c r="D10" s="1">
        <f t="shared" si="0"/>
        <v>5625</v>
      </c>
      <c r="E10" s="1">
        <f t="shared" si="1"/>
        <v>7350</v>
      </c>
      <c r="F10" s="1">
        <f t="shared" si="2"/>
        <v>9604</v>
      </c>
    </row>
    <row r="11" spans="1:9" x14ac:dyDescent="0.25">
      <c r="A11" s="1">
        <v>9</v>
      </c>
      <c r="B11" s="1">
        <v>34</v>
      </c>
      <c r="C11" s="1">
        <v>56</v>
      </c>
      <c r="D11" s="1">
        <f t="shared" si="0"/>
        <v>1156</v>
      </c>
      <c r="E11" s="1">
        <f t="shared" si="1"/>
        <v>1904</v>
      </c>
      <c r="F11" s="1">
        <f t="shared" si="2"/>
        <v>3136</v>
      </c>
    </row>
    <row r="12" spans="1:9" x14ac:dyDescent="0.25">
      <c r="A12" s="1">
        <v>10</v>
      </c>
      <c r="B12" s="1">
        <v>52</v>
      </c>
      <c r="C12" s="1">
        <v>75</v>
      </c>
      <c r="D12" s="1">
        <f t="shared" si="0"/>
        <v>2704</v>
      </c>
      <c r="E12" s="1">
        <f t="shared" si="1"/>
        <v>3900</v>
      </c>
      <c r="F12" s="1">
        <f t="shared" si="2"/>
        <v>5625</v>
      </c>
    </row>
    <row r="13" spans="1:9" x14ac:dyDescent="0.25">
      <c r="A13" s="1" t="s">
        <v>6</v>
      </c>
      <c r="B13" s="1">
        <f>B3+B4+B5+B6+B7+B9+B8+B10+B11+B12</f>
        <v>460</v>
      </c>
      <c r="C13" s="1">
        <f>SUM(C3:C12)</f>
        <v>760</v>
      </c>
      <c r="D13" s="1">
        <f>SUM(D3:D12)</f>
        <v>23634</v>
      </c>
      <c r="E13" s="1">
        <f>SUM(E3:E12)</f>
        <v>36854</v>
      </c>
      <c r="F13" s="1">
        <f>SUM(F3:F12)</f>
        <v>59816</v>
      </c>
    </row>
  </sheetData>
  <mergeCells count="1">
    <mergeCell ref="A1:F1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Hoja22</vt:lpstr>
      <vt:lpstr>Hoja21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Suritx Hernandez</dc:creator>
  <cp:lastModifiedBy>Suritx Hernandez</cp:lastModifiedBy>
  <dcterms:created xsi:type="dcterms:W3CDTF">2019-03-05T00:10:16Z</dcterms:created>
  <dcterms:modified xsi:type="dcterms:W3CDTF">2019-03-12T00:11:39Z</dcterms:modified>
</cp:coreProperties>
</file>