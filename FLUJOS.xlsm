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a5ebba4820ade01/Documentos/ENTREGANACHO/"/>
    </mc:Choice>
  </mc:AlternateContent>
  <xr:revisionPtr revIDLastSave="0" documentId="8_{224E95AE-3597-47B4-8698-A21BADD0EB2E}" xr6:coauthVersionLast="40" xr6:coauthVersionMax="40" xr10:uidLastSave="{00000000-0000-0000-0000-000000000000}"/>
  <bookViews>
    <workbookView xWindow="-120" yWindow="-120" windowWidth="20730" windowHeight="11160" xr2:uid="{D2F1A0B9-BBBF-4689-9888-3101FBBE2DB3}"/>
  </bookViews>
  <sheets>
    <sheet name="Hoja21" sheetId="49" r:id="rId1"/>
    <sheet name="Hoja20" sheetId="48" r:id="rId2"/>
    <sheet name="Hoja19" sheetId="47" r:id="rId3"/>
    <sheet name="Hoja18" sheetId="46" r:id="rId4"/>
    <sheet name="Hoja17" sheetId="45" r:id="rId5"/>
    <sheet name="Hoja1" sheetId="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0" i="1" l="1"/>
  <c r="B13" i="1"/>
  <c r="B10" i="1"/>
  <c r="D10" i="1" l="1"/>
  <c r="E10" i="1" s="1"/>
  <c r="F10" i="1" s="1"/>
  <c r="G10" i="1" s="1"/>
  <c r="H10" i="1" s="1"/>
  <c r="I10" i="1" s="1"/>
  <c r="J10" i="1" s="1"/>
  <c r="K10" i="1" s="1"/>
  <c r="C11" i="1"/>
  <c r="D11" i="1"/>
  <c r="E11" i="1"/>
  <c r="F11" i="1"/>
  <c r="G11" i="1"/>
  <c r="H11" i="1"/>
  <c r="I11" i="1"/>
  <c r="J11" i="1"/>
  <c r="K11" i="1"/>
  <c r="B11" i="1"/>
</calcChain>
</file>

<file path=xl/sharedStrings.xml><?xml version="1.0" encoding="utf-8"?>
<sst xmlns="http://schemas.openxmlformats.org/spreadsheetml/2006/main" count="91" uniqueCount="19">
  <si>
    <t>Datos de entrada</t>
  </si>
  <si>
    <t>Cálculo del valor presente neto de una serie de flujos</t>
  </si>
  <si>
    <t>2. Flujo de entrada al inicio del año 1</t>
  </si>
  <si>
    <t>3. Tasa de incremento del flujo de entrada al año</t>
  </si>
  <si>
    <t>5. Tasa de  descuento</t>
  </si>
  <si>
    <t>4. Número de años de  los flujos de entrada</t>
  </si>
  <si>
    <t>1. Flujo de salida al inicio del año 1 (Inversión inicial)</t>
  </si>
  <si>
    <t>Modelo de flujos</t>
  </si>
  <si>
    <t>Año</t>
  </si>
  <si>
    <t>Flujo de efectivo</t>
  </si>
  <si>
    <t>(Interes simple)</t>
  </si>
  <si>
    <t>Factor de descuento</t>
  </si>
  <si>
    <t>Valor presente neto</t>
  </si>
  <si>
    <t>Modelos de flujos</t>
  </si>
  <si>
    <t>tasa</t>
  </si>
  <si>
    <t>VPN</t>
  </si>
  <si>
    <t>Tasa</t>
  </si>
  <si>
    <t>negativo</t>
  </si>
  <si>
    <t>positivo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</si>
</sst>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_-&quot;$&quot;* #,##0_-;\-&quot;$&quot;* #,##0_-;_-&quot;$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ahnschrift Light"/>
      <family val="2"/>
    </font>
    <font>
      <b/>
      <sz val="11"/>
      <color theme="1"/>
      <name val="Bahnschrift Light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3" fillId="0" borderId="0" xfId="0" applyFont="1"/>
    <xf numFmtId="0" fontId="3" fillId="2" borderId="0" xfId="0" applyFont="1" applyFill="1"/>
    <xf numFmtId="9" fontId="3" fillId="2" borderId="0" xfId="0" applyNumberFormat="1" applyFont="1" applyFill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top"/>
    </xf>
    <xf numFmtId="164" fontId="3" fillId="0" borderId="0" xfId="0" applyNumberFormat="1" applyFont="1" applyAlignment="1">
      <alignment horizontal="center" vertical="center"/>
    </xf>
    <xf numFmtId="164" fontId="3" fillId="0" borderId="0" xfId="0" applyNumberFormat="1" applyFont="1"/>
    <xf numFmtId="0" fontId="4" fillId="0" borderId="0" xfId="0" applyFont="1"/>
    <xf numFmtId="0" fontId="2" fillId="0" borderId="0" xfId="0" applyFont="1"/>
    <xf numFmtId="165" fontId="3" fillId="2" borderId="0" xfId="1" applyNumberFormat="1" applyFont="1" applyFill="1"/>
    <xf numFmtId="165" fontId="3" fillId="0" borderId="0" xfId="0" applyNumberFormat="1" applyFont="1" applyAlignment="1">
      <alignment horizontal="center" vertical="center"/>
    </xf>
    <xf numFmtId="44" fontId="0" fillId="3" borderId="0" xfId="1" applyFont="1" applyFill="1"/>
    <xf numFmtId="9" fontId="0" fillId="3" borderId="0" xfId="2" applyFont="1" applyFill="1"/>
    <xf numFmtId="44" fontId="0" fillId="0" borderId="0" xfId="1" applyFont="1"/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8028A-9ADC-48DA-8A0C-AAED916726BA}">
  <sheetPr codeName="Hoja21"/>
  <dimension ref="A1:K21"/>
  <sheetViews>
    <sheetView tabSelected="1" workbookViewId="0">
      <selection activeCell="E15" sqref="E15"/>
    </sheetView>
  </sheetViews>
  <sheetFormatPr baseColWidth="10" defaultRowHeight="15" x14ac:dyDescent="0.25"/>
  <cols>
    <col min="1" max="1" width="48.28515625" bestFit="1" customWidth="1"/>
    <col min="2" max="11" width="17.140625" customWidth="1"/>
  </cols>
  <sheetData>
    <row r="1" spans="1:11" x14ac:dyDescent="0.25">
      <c r="A1" s="10" t="s">
        <v>0</v>
      </c>
    </row>
    <row r="2" spans="1:11" x14ac:dyDescent="0.25">
      <c r="A2" t="s">
        <v>6</v>
      </c>
      <c r="B2" s="13">
        <v>40000</v>
      </c>
    </row>
    <row r="3" spans="1:11" x14ac:dyDescent="0.25">
      <c r="A3" t="s">
        <v>2</v>
      </c>
      <c r="B3" s="13">
        <v>12000</v>
      </c>
    </row>
    <row r="4" spans="1:11" x14ac:dyDescent="0.25">
      <c r="A4" t="s">
        <v>3</v>
      </c>
      <c r="B4" s="14">
        <v>0.11999999731779099</v>
      </c>
    </row>
    <row r="5" spans="1:11" x14ac:dyDescent="0.25">
      <c r="A5" t="s">
        <v>5</v>
      </c>
      <c r="B5" s="14">
        <v>10</v>
      </c>
    </row>
    <row r="6" spans="1:11" x14ac:dyDescent="0.25">
      <c r="A6" t="s">
        <v>4</v>
      </c>
      <c r="B6" s="14">
        <v>0.15999999642372131</v>
      </c>
    </row>
    <row r="8" spans="1:11" x14ac:dyDescent="0.25">
      <c r="A8" t="s">
        <v>13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15">
        <v>12000</v>
      </c>
      <c r="C10" s="15">
        <v>13320.000000000002</v>
      </c>
      <c r="D10" s="15">
        <v>14785.200000000003</v>
      </c>
      <c r="E10" s="15">
        <v>16411.572000000004</v>
      </c>
      <c r="F10" s="15">
        <v>18216.844920000007</v>
      </c>
      <c r="G10" s="15">
        <v>20220.697861200009</v>
      </c>
      <c r="H10" s="15">
        <v>22444.974625932013</v>
      </c>
      <c r="I10" s="15">
        <v>24913.921834784534</v>
      </c>
      <c r="J10" s="15">
        <v>27654.453236610832</v>
      </c>
      <c r="K10" s="15">
        <v>30696.44309263803</v>
      </c>
    </row>
    <row r="11" spans="1:11" x14ac:dyDescent="0.25">
      <c r="A11" t="s">
        <v>11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12</v>
      </c>
      <c r="B13" s="15">
        <v>70040.837872423159</v>
      </c>
    </row>
    <row r="16" spans="1:11" x14ac:dyDescent="0.25">
      <c r="B16" s="16" t="s">
        <v>16</v>
      </c>
      <c r="C16" s="16" t="s">
        <v>15</v>
      </c>
      <c r="D16" s="16"/>
    </row>
    <row r="17" spans="2:4" x14ac:dyDescent="0.25">
      <c r="B17" s="16">
        <v>0.05</v>
      </c>
      <c r="C17" s="17">
        <v>42634.633462765356</v>
      </c>
      <c r="D17" s="16" t="s">
        <v>17</v>
      </c>
    </row>
    <row r="18" spans="2:4" x14ac:dyDescent="0.25">
      <c r="B18" s="16">
        <v>0.1</v>
      </c>
      <c r="C18" s="17">
        <v>61224.782173594111</v>
      </c>
      <c r="D18" s="16" t="s">
        <v>17</v>
      </c>
    </row>
    <row r="19" spans="2:4" x14ac:dyDescent="0.25">
      <c r="B19" s="16">
        <v>0.7</v>
      </c>
      <c r="C19" s="17">
        <v>1430785.4526281869</v>
      </c>
      <c r="D19" s="16" t="s">
        <v>18</v>
      </c>
    </row>
    <row r="20" spans="2:4" x14ac:dyDescent="0.25">
      <c r="B20" s="16">
        <v>0.8</v>
      </c>
      <c r="C20" s="17">
        <v>2213536.537331339</v>
      </c>
      <c r="D20" s="16" t="s">
        <v>18</v>
      </c>
    </row>
    <row r="21" spans="2:4" x14ac:dyDescent="0.25">
      <c r="B21" s="16">
        <v>0.11</v>
      </c>
      <c r="C21" s="17">
        <v>65524.47453625167</v>
      </c>
      <c r="D21" s="16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6677D-95C7-4F0D-B3B8-6AD4463019C1}">
  <sheetPr codeName="Hoja20"/>
  <dimension ref="A1:K21"/>
  <sheetViews>
    <sheetView workbookViewId="0">
      <selection activeCell="E18" sqref="E18"/>
    </sheetView>
  </sheetViews>
  <sheetFormatPr baseColWidth="10" defaultRowHeight="15" x14ac:dyDescent="0.25"/>
  <cols>
    <col min="1" max="1" width="48.28515625" bestFit="1" customWidth="1"/>
    <col min="2" max="11" width="17.140625" customWidth="1"/>
  </cols>
  <sheetData>
    <row r="1" spans="1:11" x14ac:dyDescent="0.25">
      <c r="A1" s="10" t="s">
        <v>0</v>
      </c>
    </row>
    <row r="2" spans="1:11" x14ac:dyDescent="0.25">
      <c r="A2" t="s">
        <v>6</v>
      </c>
      <c r="B2" s="13">
        <v>40000</v>
      </c>
    </row>
    <row r="3" spans="1:11" x14ac:dyDescent="0.25">
      <c r="A3" t="s">
        <v>2</v>
      </c>
      <c r="B3" s="13">
        <v>12000</v>
      </c>
    </row>
    <row r="4" spans="1:11" x14ac:dyDescent="0.25">
      <c r="A4" t="s">
        <v>3</v>
      </c>
      <c r="B4" s="14">
        <v>0.11999999731779099</v>
      </c>
    </row>
    <row r="5" spans="1:11" x14ac:dyDescent="0.25">
      <c r="A5" t="s">
        <v>5</v>
      </c>
      <c r="B5" s="14">
        <v>10</v>
      </c>
    </row>
    <row r="6" spans="1:11" x14ac:dyDescent="0.25">
      <c r="A6" t="s">
        <v>4</v>
      </c>
      <c r="B6" s="14">
        <v>0.15999999642372131</v>
      </c>
    </row>
    <row r="8" spans="1:11" x14ac:dyDescent="0.25">
      <c r="A8" t="s">
        <v>13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15">
        <v>12000</v>
      </c>
      <c r="C10" s="15">
        <v>12480</v>
      </c>
      <c r="D10" s="15">
        <v>12979.2</v>
      </c>
      <c r="E10" s="15">
        <v>13498.368</v>
      </c>
      <c r="F10" s="15">
        <v>14038.302720000003</v>
      </c>
      <c r="G10" s="15">
        <v>14599.834828800002</v>
      </c>
      <c r="H10" s="15">
        <v>15183.828221952004</v>
      </c>
      <c r="I10" s="15">
        <v>15791.181350830084</v>
      </c>
      <c r="J10" s="15">
        <v>16422.828604863287</v>
      </c>
      <c r="K10" s="15">
        <v>17079.741749057819</v>
      </c>
    </row>
    <row r="11" spans="1:11" x14ac:dyDescent="0.25">
      <c r="A11" t="s">
        <v>11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12</v>
      </c>
      <c r="B13" s="15">
        <v>70040.837872423159</v>
      </c>
    </row>
    <row r="16" spans="1:11" x14ac:dyDescent="0.25">
      <c r="B16" s="16" t="s">
        <v>16</v>
      </c>
      <c r="C16" s="16" t="s">
        <v>15</v>
      </c>
      <c r="D16" s="16"/>
    </row>
    <row r="17" spans="2:4" x14ac:dyDescent="0.25">
      <c r="B17" s="16">
        <v>0.2</v>
      </c>
      <c r="C17" s="17">
        <v>115353.76581146217</v>
      </c>
      <c r="D17" s="16" t="s">
        <v>18</v>
      </c>
    </row>
    <row r="18" spans="2:4" x14ac:dyDescent="0.25">
      <c r="B18" s="16">
        <v>0.4</v>
      </c>
      <c r="C18" s="17">
        <v>343619.98564896418</v>
      </c>
      <c r="D18" s="16" t="s">
        <v>18</v>
      </c>
    </row>
    <row r="19" spans="2:4" x14ac:dyDescent="0.25">
      <c r="B19" s="16">
        <v>0.5</v>
      </c>
      <c r="C19" s="17">
        <v>565037.82203770243</v>
      </c>
      <c r="D19" s="16" t="s">
        <v>18</v>
      </c>
    </row>
    <row r="20" spans="2:4" x14ac:dyDescent="0.25">
      <c r="B20" s="16">
        <v>0.7</v>
      </c>
      <c r="C20" s="17">
        <v>1430785.4526281869</v>
      </c>
      <c r="D20" s="16" t="s">
        <v>18</v>
      </c>
    </row>
    <row r="21" spans="2:4" x14ac:dyDescent="0.25">
      <c r="B21" s="16">
        <v>0.04</v>
      </c>
      <c r="C21" s="17">
        <v>39435.708150370068</v>
      </c>
      <c r="D21" s="16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89F75-9381-44E6-960C-0328FC07FB04}">
  <sheetPr codeName="Hoja19"/>
  <dimension ref="A1:K21"/>
  <sheetViews>
    <sheetView workbookViewId="0">
      <selection activeCell="F19" sqref="F19"/>
    </sheetView>
  </sheetViews>
  <sheetFormatPr baseColWidth="10" defaultRowHeight="15" x14ac:dyDescent="0.25"/>
  <cols>
    <col min="1" max="1" width="48.28515625" bestFit="1" customWidth="1"/>
    <col min="2" max="11" width="17.140625" customWidth="1"/>
  </cols>
  <sheetData>
    <row r="1" spans="1:11" x14ac:dyDescent="0.25">
      <c r="A1" s="10" t="s">
        <v>0</v>
      </c>
    </row>
    <row r="2" spans="1:11" x14ac:dyDescent="0.25">
      <c r="A2" t="s">
        <v>6</v>
      </c>
      <c r="B2" s="13">
        <v>40000</v>
      </c>
    </row>
    <row r="3" spans="1:11" x14ac:dyDescent="0.25">
      <c r="A3" t="s">
        <v>2</v>
      </c>
      <c r="B3" s="13">
        <v>12000</v>
      </c>
    </row>
    <row r="4" spans="1:11" x14ac:dyDescent="0.25">
      <c r="A4" t="s">
        <v>3</v>
      </c>
      <c r="B4" s="14">
        <v>0.11999999731779099</v>
      </c>
    </row>
    <row r="5" spans="1:11" x14ac:dyDescent="0.25">
      <c r="A5" t="s">
        <v>5</v>
      </c>
      <c r="B5" s="14">
        <v>10</v>
      </c>
    </row>
    <row r="6" spans="1:11" x14ac:dyDescent="0.25">
      <c r="A6" t="s">
        <v>4</v>
      </c>
      <c r="B6" s="14">
        <v>0.15999999642372131</v>
      </c>
    </row>
    <row r="8" spans="1:11" x14ac:dyDescent="0.25">
      <c r="A8" t="s">
        <v>13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15">
        <v>12000</v>
      </c>
      <c r="C10" s="15">
        <v>18000</v>
      </c>
      <c r="D10" s="15">
        <v>27000</v>
      </c>
      <c r="E10" s="15">
        <v>40500</v>
      </c>
      <c r="F10" s="15">
        <v>60750</v>
      </c>
      <c r="G10" s="15">
        <v>91125</v>
      </c>
      <c r="H10" s="15">
        <v>136687.5</v>
      </c>
      <c r="I10" s="15">
        <v>205031.25</v>
      </c>
      <c r="J10" s="15">
        <v>307546.875</v>
      </c>
      <c r="K10" s="15">
        <v>461320.3125</v>
      </c>
    </row>
    <row r="11" spans="1:11" x14ac:dyDescent="0.25">
      <c r="A11" t="s">
        <v>11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12</v>
      </c>
      <c r="B13" s="15">
        <v>70040.837872423159</v>
      </c>
    </row>
    <row r="16" spans="1:11" x14ac:dyDescent="0.25">
      <c r="B16" t="s">
        <v>16</v>
      </c>
      <c r="C16" t="s">
        <v>15</v>
      </c>
    </row>
    <row r="17" spans="2:4" x14ac:dyDescent="0.25">
      <c r="B17">
        <v>0.1</v>
      </c>
      <c r="C17" s="15">
        <v>61224.782173594111</v>
      </c>
      <c r="D17" t="s">
        <v>17</v>
      </c>
    </row>
    <row r="18" spans="2:4" x14ac:dyDescent="0.25">
      <c r="B18">
        <v>0.2</v>
      </c>
      <c r="C18" s="15">
        <v>115353.76581146217</v>
      </c>
    </row>
    <row r="19" spans="2:4" x14ac:dyDescent="0.25">
      <c r="B19">
        <v>0.3</v>
      </c>
      <c r="C19" s="15">
        <v>203123.05964351885</v>
      </c>
    </row>
    <row r="20" spans="2:4" x14ac:dyDescent="0.25">
      <c r="B20">
        <v>0.4</v>
      </c>
      <c r="C20" s="15">
        <v>343619.98564896418</v>
      </c>
    </row>
    <row r="21" spans="2:4" x14ac:dyDescent="0.25">
      <c r="B21">
        <v>0.5</v>
      </c>
      <c r="C21" s="15">
        <v>565037.82203770243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EBBC4-728F-416F-86B5-9EE9F4C87497}">
  <sheetPr codeName="Hoja18"/>
  <dimension ref="A1:K21"/>
  <sheetViews>
    <sheetView workbookViewId="0">
      <selection activeCell="D17" sqref="D17"/>
    </sheetView>
  </sheetViews>
  <sheetFormatPr baseColWidth="10" defaultRowHeight="15" x14ac:dyDescent="0.25"/>
  <cols>
    <col min="1" max="1" width="48.28515625" bestFit="1" customWidth="1"/>
    <col min="2" max="11" width="17.140625" customWidth="1"/>
  </cols>
  <sheetData>
    <row r="1" spans="1:11" x14ac:dyDescent="0.25">
      <c r="A1" s="10" t="s">
        <v>0</v>
      </c>
    </row>
    <row r="2" spans="1:11" x14ac:dyDescent="0.25">
      <c r="A2" t="s">
        <v>6</v>
      </c>
      <c r="B2" s="13">
        <v>40000</v>
      </c>
    </row>
    <row r="3" spans="1:11" x14ac:dyDescent="0.25">
      <c r="A3" t="s">
        <v>2</v>
      </c>
      <c r="B3" s="13">
        <v>12000</v>
      </c>
    </row>
    <row r="4" spans="1:11" x14ac:dyDescent="0.25">
      <c r="A4" t="s">
        <v>3</v>
      </c>
      <c r="B4" s="14">
        <v>0.11999999731779099</v>
      </c>
    </row>
    <row r="5" spans="1:11" x14ac:dyDescent="0.25">
      <c r="A5" t="s">
        <v>5</v>
      </c>
      <c r="B5" s="14">
        <v>10</v>
      </c>
    </row>
    <row r="6" spans="1:11" x14ac:dyDescent="0.25">
      <c r="A6" t="s">
        <v>4</v>
      </c>
      <c r="B6" s="14">
        <v>0.15999999642372131</v>
      </c>
    </row>
    <row r="8" spans="1:11" x14ac:dyDescent="0.25">
      <c r="A8" t="s">
        <v>13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15">
        <v>12000</v>
      </c>
      <c r="C10" s="15">
        <v>18000</v>
      </c>
      <c r="D10" s="15">
        <v>27000</v>
      </c>
      <c r="E10" s="15">
        <v>40500</v>
      </c>
      <c r="F10" s="15">
        <v>60750</v>
      </c>
      <c r="G10" s="15">
        <v>91125</v>
      </c>
      <c r="H10" s="15">
        <v>136687.5</v>
      </c>
      <c r="I10" s="15">
        <v>205031.25</v>
      </c>
      <c r="J10" s="15">
        <v>307546.875</v>
      </c>
      <c r="K10" s="15">
        <v>461320.3125</v>
      </c>
    </row>
    <row r="11" spans="1:11" x14ac:dyDescent="0.25">
      <c r="A11" t="s">
        <v>11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12</v>
      </c>
      <c r="B13" s="15">
        <v>70040.837872423159</v>
      </c>
    </row>
    <row r="16" spans="1:11" x14ac:dyDescent="0.25">
      <c r="B16" t="s">
        <v>16</v>
      </c>
      <c r="C16" t="s">
        <v>15</v>
      </c>
    </row>
    <row r="17" spans="2:3" x14ac:dyDescent="0.25">
      <c r="B17">
        <v>0.1</v>
      </c>
      <c r="C17" s="15">
        <v>61224.782173594111</v>
      </c>
    </row>
    <row r="18" spans="2:3" x14ac:dyDescent="0.25">
      <c r="B18">
        <v>0.2</v>
      </c>
      <c r="C18" s="15">
        <v>115353.76581146217</v>
      </c>
    </row>
    <row r="19" spans="2:3" x14ac:dyDescent="0.25">
      <c r="B19">
        <v>0.3</v>
      </c>
      <c r="C19" s="15">
        <v>203123.05964351885</v>
      </c>
    </row>
    <row r="20" spans="2:3" x14ac:dyDescent="0.25">
      <c r="B20">
        <v>0.4</v>
      </c>
      <c r="C20" s="15">
        <v>343619.98564896418</v>
      </c>
    </row>
    <row r="21" spans="2:3" x14ac:dyDescent="0.25">
      <c r="B21">
        <v>0.5</v>
      </c>
      <c r="C21" s="15">
        <v>565037.82203770243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7CF36-C99C-4A7A-817E-58FB94DEED97}">
  <sheetPr codeName="Hoja17"/>
  <dimension ref="A1:K21"/>
  <sheetViews>
    <sheetView workbookViewId="0">
      <selection activeCell="F19" sqref="F19"/>
    </sheetView>
  </sheetViews>
  <sheetFormatPr baseColWidth="10" defaultRowHeight="15" x14ac:dyDescent="0.25"/>
  <cols>
    <col min="1" max="1" width="48.28515625" bestFit="1" customWidth="1"/>
    <col min="2" max="11" width="17.140625" customWidth="1"/>
  </cols>
  <sheetData>
    <row r="1" spans="1:11" x14ac:dyDescent="0.25">
      <c r="A1" s="10" t="s">
        <v>0</v>
      </c>
    </row>
    <row r="2" spans="1:11" x14ac:dyDescent="0.25">
      <c r="A2" t="s">
        <v>6</v>
      </c>
      <c r="B2" s="13">
        <v>40000</v>
      </c>
    </row>
    <row r="3" spans="1:11" x14ac:dyDescent="0.25">
      <c r="A3" t="s">
        <v>2</v>
      </c>
      <c r="B3" s="13">
        <v>12000</v>
      </c>
    </row>
    <row r="4" spans="1:11" x14ac:dyDescent="0.25">
      <c r="A4" t="s">
        <v>3</v>
      </c>
      <c r="B4" s="14">
        <v>0.11999999731779099</v>
      </c>
    </row>
    <row r="5" spans="1:11" x14ac:dyDescent="0.25">
      <c r="A5" t="s">
        <v>5</v>
      </c>
      <c r="B5" s="14">
        <v>10</v>
      </c>
    </row>
    <row r="6" spans="1:11" x14ac:dyDescent="0.25">
      <c r="A6" t="s">
        <v>4</v>
      </c>
      <c r="B6" s="14">
        <v>0.15999999642372131</v>
      </c>
    </row>
    <row r="8" spans="1:11" x14ac:dyDescent="0.25">
      <c r="A8" t="s">
        <v>13</v>
      </c>
    </row>
    <row r="9" spans="1:11" x14ac:dyDescent="0.25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15">
        <v>12000</v>
      </c>
      <c r="C10" s="15">
        <v>13200.000000000002</v>
      </c>
      <c r="D10" s="15">
        <v>14520.000000000002</v>
      </c>
      <c r="E10" s="15">
        <v>15972.000000000005</v>
      </c>
      <c r="F10" s="15">
        <v>17569.200000000004</v>
      </c>
      <c r="G10" s="15">
        <v>19326.120000000006</v>
      </c>
      <c r="H10" s="15">
        <v>21258.732000000011</v>
      </c>
      <c r="I10" s="15">
        <v>23384.605200000013</v>
      </c>
      <c r="J10" s="15">
        <v>25723.065720000021</v>
      </c>
      <c r="K10" s="15">
        <v>28295.372292000022</v>
      </c>
    </row>
    <row r="11" spans="1:11" x14ac:dyDescent="0.25">
      <c r="A11" t="s">
        <v>11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12</v>
      </c>
      <c r="B13" s="15">
        <v>70040.837872423159</v>
      </c>
    </row>
    <row r="16" spans="1:11" x14ac:dyDescent="0.25">
      <c r="B16" t="s">
        <v>16</v>
      </c>
      <c r="C16" t="s">
        <v>15</v>
      </c>
    </row>
    <row r="17" spans="2:3" x14ac:dyDescent="0.25">
      <c r="B17">
        <v>0.3</v>
      </c>
      <c r="C17" s="15">
        <v>203123.05964351885</v>
      </c>
    </row>
    <row r="18" spans="2:3" x14ac:dyDescent="0.25">
      <c r="B18">
        <v>0.02</v>
      </c>
      <c r="C18" s="15">
        <v>33492.351267014776</v>
      </c>
    </row>
    <row r="19" spans="2:3" x14ac:dyDescent="0.25">
      <c r="B19">
        <v>0.6</v>
      </c>
      <c r="C19" s="15">
        <v>908148.88276948116</v>
      </c>
    </row>
    <row r="20" spans="2:3" x14ac:dyDescent="0.25">
      <c r="B20">
        <v>0.9</v>
      </c>
      <c r="C20" s="15">
        <v>3366895.4957567342</v>
      </c>
    </row>
    <row r="21" spans="2:3" x14ac:dyDescent="0.25">
      <c r="B21">
        <v>0.1</v>
      </c>
      <c r="C21" s="15">
        <v>61224.782173594111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3FFC4-5454-4BCE-B7C9-D323534D561E}">
  <sheetPr codeName="Hoja1"/>
  <dimension ref="A1:K16"/>
  <sheetViews>
    <sheetView zoomScale="75" zoomScaleNormal="75" workbookViewId="0">
      <selection activeCell="B2" sqref="B2"/>
    </sheetView>
  </sheetViews>
  <sheetFormatPr baseColWidth="10" defaultRowHeight="14.25" x14ac:dyDescent="0.2"/>
  <cols>
    <col min="1" max="1" width="48.85546875" style="1" customWidth="1"/>
    <col min="2" max="2" width="15.28515625" style="1" bestFit="1" customWidth="1"/>
    <col min="3" max="16384" width="11.42578125" style="1"/>
  </cols>
  <sheetData>
    <row r="1" spans="1:11" x14ac:dyDescent="0.2">
      <c r="A1" s="9" t="s">
        <v>0</v>
      </c>
      <c r="D1" s="1" t="s">
        <v>1</v>
      </c>
    </row>
    <row r="2" spans="1:11" x14ac:dyDescent="0.2">
      <c r="A2" s="1" t="s">
        <v>6</v>
      </c>
      <c r="B2" s="11">
        <v>40000</v>
      </c>
    </row>
    <row r="3" spans="1:11" x14ac:dyDescent="0.2">
      <c r="A3" s="1" t="s">
        <v>2</v>
      </c>
      <c r="B3" s="11">
        <v>12000</v>
      </c>
    </row>
    <row r="4" spans="1:11" x14ac:dyDescent="0.2">
      <c r="A4" s="1" t="s">
        <v>3</v>
      </c>
      <c r="B4" s="3">
        <v>0.12</v>
      </c>
    </row>
    <row r="5" spans="1:11" x14ac:dyDescent="0.2">
      <c r="A5" s="1" t="s">
        <v>5</v>
      </c>
      <c r="B5" s="2">
        <v>10</v>
      </c>
    </row>
    <row r="6" spans="1:11" x14ac:dyDescent="0.2">
      <c r="A6" s="1" t="s">
        <v>4</v>
      </c>
      <c r="B6" s="3">
        <v>0.16</v>
      </c>
      <c r="C6" s="1" t="s">
        <v>10</v>
      </c>
    </row>
    <row r="8" spans="1:11" x14ac:dyDescent="0.2">
      <c r="A8" s="6" t="s">
        <v>7</v>
      </c>
    </row>
    <row r="9" spans="1:11" s="4" customFormat="1" x14ac:dyDescent="0.25">
      <c r="A9" s="6" t="s">
        <v>8</v>
      </c>
      <c r="B9" s="4">
        <v>1</v>
      </c>
      <c r="C9" s="4">
        <v>2</v>
      </c>
      <c r="D9" s="4">
        <v>3</v>
      </c>
      <c r="E9" s="4">
        <v>4</v>
      </c>
      <c r="F9" s="4">
        <v>5</v>
      </c>
      <c r="G9" s="4">
        <v>6</v>
      </c>
      <c r="H9" s="4">
        <v>7</v>
      </c>
      <c r="I9" s="4">
        <v>8</v>
      </c>
      <c r="J9" s="4">
        <v>9</v>
      </c>
      <c r="K9" s="4">
        <v>10</v>
      </c>
    </row>
    <row r="10" spans="1:11" s="4" customFormat="1" x14ac:dyDescent="0.25">
      <c r="A10" s="6" t="s">
        <v>9</v>
      </c>
      <c r="B10" s="12">
        <f>B3</f>
        <v>12000</v>
      </c>
      <c r="C10" s="7">
        <f>B10*(1+$B$4)</f>
        <v>13440.000000000002</v>
      </c>
      <c r="D10" s="7">
        <f t="shared" ref="D10:K10" si="0">C10*(1+$B$4)</f>
        <v>15052.800000000003</v>
      </c>
      <c r="E10" s="7">
        <f t="shared" si="0"/>
        <v>16859.136000000006</v>
      </c>
      <c r="F10" s="7">
        <f t="shared" si="0"/>
        <v>18882.23232000001</v>
      </c>
      <c r="G10" s="7">
        <f t="shared" si="0"/>
        <v>21148.100198400014</v>
      </c>
      <c r="H10" s="7">
        <f t="shared" si="0"/>
        <v>23685.872222208018</v>
      </c>
      <c r="I10" s="7">
        <f t="shared" si="0"/>
        <v>26528.176888872982</v>
      </c>
      <c r="J10" s="7">
        <f t="shared" si="0"/>
        <v>29711.558115537744</v>
      </c>
      <c r="K10" s="7">
        <f t="shared" si="0"/>
        <v>33276.945089402274</v>
      </c>
    </row>
    <row r="11" spans="1:11" s="4" customFormat="1" x14ac:dyDescent="0.25">
      <c r="A11" s="5" t="s">
        <v>11</v>
      </c>
      <c r="B11" s="4">
        <f>1/(1+B9*$B6)</f>
        <v>0.86206896551724144</v>
      </c>
      <c r="C11" s="4">
        <f t="shared" ref="C11:K11" si="1">1/(1+C9*$B6)</f>
        <v>0.75757575757575757</v>
      </c>
      <c r="D11" s="4">
        <f t="shared" si="1"/>
        <v>0.67567567567567566</v>
      </c>
      <c r="E11" s="4">
        <f t="shared" si="1"/>
        <v>0.6097560975609756</v>
      </c>
      <c r="F11" s="4">
        <f t="shared" si="1"/>
        <v>0.55555555555555558</v>
      </c>
      <c r="G11" s="4">
        <f t="shared" si="1"/>
        <v>0.51020408163265307</v>
      </c>
      <c r="H11" s="4">
        <f t="shared" si="1"/>
        <v>0.47169811320754712</v>
      </c>
      <c r="I11" s="4">
        <f t="shared" si="1"/>
        <v>0.43859649122807015</v>
      </c>
      <c r="J11" s="4">
        <f t="shared" si="1"/>
        <v>0.4098360655737705</v>
      </c>
      <c r="K11" s="4">
        <f t="shared" si="1"/>
        <v>0.38461538461538458</v>
      </c>
    </row>
    <row r="13" spans="1:11" x14ac:dyDescent="0.2">
      <c r="A13" s="1" t="s">
        <v>12</v>
      </c>
      <c r="B13" s="8">
        <f>-B2+B10*B11+C10*C11+D10*D11+E10*E11+F10*F11+G10*G11+H10*H11+I10*I11+J10*J11+K10*K11</f>
        <v>70040.833314664094</v>
      </c>
    </row>
    <row r="16" spans="1:11" x14ac:dyDescent="0.2">
      <c r="B16" s="1" t="s">
        <v>14</v>
      </c>
      <c r="C16" s="1" t="s">
        <v>15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Hoja21</vt:lpstr>
      <vt:lpstr>Hoja20</vt:lpstr>
      <vt:lpstr>Hoja19</vt:lpstr>
      <vt:lpstr>Hoja18</vt:lpstr>
      <vt:lpstr>Hoja17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Suritx Hernandez</dc:creator>
  <cp:lastModifiedBy>Suritx Hernandez</cp:lastModifiedBy>
  <dcterms:created xsi:type="dcterms:W3CDTF">2019-02-14T00:35:13Z</dcterms:created>
  <dcterms:modified xsi:type="dcterms:W3CDTF">2019-03-10T21:30:00Z</dcterms:modified>
</cp:coreProperties>
</file>