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a5ebba4820ade01/Documentos/ENTREGANACHO/"/>
    </mc:Choice>
  </mc:AlternateContent>
  <xr:revisionPtr revIDLastSave="0" documentId="8_{0B448108-8AAC-4AD3-89A8-AB8F0C65EBC4}" xr6:coauthVersionLast="40" xr6:coauthVersionMax="40" xr10:uidLastSave="{00000000-0000-0000-0000-000000000000}"/>
  <bookViews>
    <workbookView xWindow="-120" yWindow="-120" windowWidth="20730" windowHeight="11160" xr2:uid="{4E5F79FD-934C-4802-A824-C4789BE48620}"/>
  </bookViews>
  <sheets>
    <sheet name="Hoja21" sheetId="21" r:id="rId1"/>
    <sheet name="Hoja20" sheetId="20" r:id="rId2"/>
    <sheet name="Hoja1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1" l="1"/>
  <c r="H2" i="1"/>
  <c r="F3" i="1" s="1"/>
  <c r="G3" i="1" s="1"/>
  <c r="H3" i="1" s="1"/>
  <c r="E3" i="1"/>
  <c r="E4" i="1"/>
  <c r="E5" i="1"/>
  <c r="E6" i="1"/>
  <c r="E7" i="1"/>
  <c r="E8" i="1"/>
  <c r="E9" i="1"/>
  <c r="E10" i="1"/>
  <c r="E11" i="1"/>
  <c r="B4" i="1"/>
  <c r="F4" i="1" l="1"/>
  <c r="G4" i="1" s="1"/>
  <c r="H4" i="1" s="1"/>
  <c r="F5" i="1" s="1"/>
  <c r="G5" i="1" s="1"/>
  <c r="H5" i="1" s="1"/>
  <c r="F6" i="1" s="1"/>
  <c r="G6" i="1" s="1"/>
  <c r="H6" i="1" s="1"/>
  <c r="F7" i="1" s="1"/>
  <c r="G7" i="1" s="1"/>
  <c r="H7" i="1" s="1"/>
  <c r="F8" i="1" s="1"/>
  <c r="G8" i="1" s="1"/>
  <c r="H8" i="1" s="1"/>
  <c r="F9" i="1" s="1"/>
  <c r="G9" i="1" s="1"/>
  <c r="H9" i="1" s="1"/>
  <c r="F10" i="1" s="1"/>
  <c r="G10" i="1" s="1"/>
  <c r="H10" i="1" s="1"/>
  <c r="F11" i="1" s="1"/>
  <c r="G11" i="1" s="1"/>
  <c r="H11" i="1" s="1"/>
  <c r="B5" i="1" l="1"/>
  <c r="F12" i="1"/>
  <c r="G12" i="1" l="1"/>
  <c r="H12" i="1" s="1"/>
</calcChain>
</file>

<file path=xl/sharedStrings.xml><?xml version="1.0" encoding="utf-8"?>
<sst xmlns="http://schemas.openxmlformats.org/spreadsheetml/2006/main" count="28" uniqueCount="11">
  <si>
    <t>Pago</t>
  </si>
  <si>
    <t>Intereses</t>
  </si>
  <si>
    <t>Saldo insoluto</t>
  </si>
  <si>
    <t>Deuda</t>
  </si>
  <si>
    <t>Tasa de interes</t>
  </si>
  <si>
    <t>Número de pagos</t>
  </si>
  <si>
    <t>Pago fraccionario</t>
  </si>
  <si>
    <t>Periodo</t>
  </si>
  <si>
    <t>Abono Capital</t>
  </si>
  <si>
    <t>Tasa de Interes</t>
  </si>
  <si>
    <t>Abono Capítal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</si>
</sst>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_-[$$-80A]* #,##0.00_-;\-[$$-80A]* #,##0.00_-;_-[$$-80A]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badi"/>
      <family val="2"/>
    </font>
    <font>
      <sz val="11"/>
      <color theme="1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8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44" fontId="2" fillId="0" borderId="0" xfId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4" fontId="3" fillId="0" borderId="0" xfId="1" applyFont="1" applyAlignment="1">
      <alignment horizontal="center" vertical="center"/>
    </xf>
    <xf numFmtId="7" fontId="3" fillId="0" borderId="0" xfId="1" applyNumberFormat="1" applyFont="1" applyAlignment="1">
      <alignment horizontal="center"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FFDE8-E77B-406B-8A2B-5BDC4CE8C823}">
  <sheetPr codeName="Hoja21"/>
  <dimension ref="A1:H12"/>
  <sheetViews>
    <sheetView tabSelected="1" workbookViewId="0">
      <selection activeCell="J19" sqref="J19"/>
    </sheetView>
  </sheetViews>
  <sheetFormatPr baseColWidth="10" defaultRowHeight="14.25" x14ac:dyDescent="0.25"/>
  <cols>
    <col min="1" max="1" width="20.7109375" style="6" customWidth="1"/>
    <col min="2" max="2" width="14.28515625" style="6" customWidth="1"/>
    <col min="3" max="4" width="11.42578125" style="6"/>
    <col min="5" max="5" width="14.7109375" style="7" customWidth="1"/>
    <col min="6" max="7" width="15.7109375" style="7" customWidth="1"/>
    <col min="8" max="8" width="16.7109375" style="7" customWidth="1"/>
    <col min="9" max="16384" width="11.42578125" style="6"/>
  </cols>
  <sheetData>
    <row r="1" spans="1:8" x14ac:dyDescent="0.25">
      <c r="A1" s="6" t="s">
        <v>3</v>
      </c>
      <c r="B1" s="6">
        <v>500</v>
      </c>
      <c r="D1" s="6" t="s">
        <v>7</v>
      </c>
      <c r="E1" s="7" t="s">
        <v>0</v>
      </c>
      <c r="F1" s="7" t="s">
        <v>1</v>
      </c>
      <c r="G1" s="7" t="s">
        <v>10</v>
      </c>
      <c r="H1" s="7" t="s">
        <v>2</v>
      </c>
    </row>
    <row r="2" spans="1:8" x14ac:dyDescent="0.25">
      <c r="A2" s="6" t="s">
        <v>0</v>
      </c>
      <c r="B2" s="6">
        <v>67</v>
      </c>
      <c r="D2" s="6">
        <v>0</v>
      </c>
      <c r="H2" s="7">
        <v>500</v>
      </c>
    </row>
    <row r="3" spans="1:8" x14ac:dyDescent="0.25">
      <c r="A3" s="6" t="s">
        <v>9</v>
      </c>
      <c r="B3" s="6">
        <v>5.000000074505806E-2</v>
      </c>
      <c r="D3" s="6">
        <v>1</v>
      </c>
      <c r="E3" s="7">
        <v>67</v>
      </c>
      <c r="F3" s="7">
        <v>25.00000037252903</v>
      </c>
      <c r="G3" s="8">
        <v>42</v>
      </c>
      <c r="H3" s="8">
        <v>458</v>
      </c>
    </row>
    <row r="4" spans="1:8" x14ac:dyDescent="0.25">
      <c r="A4" s="6" t="s">
        <v>5</v>
      </c>
      <c r="B4" s="6">
        <v>10</v>
      </c>
      <c r="D4" s="6">
        <v>2</v>
      </c>
      <c r="E4" s="7">
        <v>67</v>
      </c>
      <c r="F4" s="7">
        <v>22.900000341236591</v>
      </c>
      <c r="G4" s="8">
        <v>44.1</v>
      </c>
      <c r="H4" s="8">
        <v>413.9</v>
      </c>
    </row>
    <row r="5" spans="1:8" x14ac:dyDescent="0.25">
      <c r="D5" s="6">
        <v>3</v>
      </c>
      <c r="E5" s="7">
        <v>67</v>
      </c>
      <c r="F5" s="7">
        <v>20.69500030837953</v>
      </c>
      <c r="G5" s="8">
        <v>46.31</v>
      </c>
      <c r="H5" s="8">
        <v>367.59</v>
      </c>
    </row>
    <row r="6" spans="1:8" x14ac:dyDescent="0.25">
      <c r="D6" s="6">
        <v>4</v>
      </c>
      <c r="E6" s="7">
        <v>67</v>
      </c>
      <c r="F6" s="7">
        <v>18.379500273875891</v>
      </c>
      <c r="G6" s="8">
        <v>48.62</v>
      </c>
      <c r="H6" s="8">
        <v>318.97000000000003</v>
      </c>
    </row>
    <row r="7" spans="1:8" x14ac:dyDescent="0.25">
      <c r="D7" s="6">
        <v>5</v>
      </c>
      <c r="E7" s="7">
        <v>67</v>
      </c>
      <c r="F7" s="7">
        <v>15.948500237651171</v>
      </c>
      <c r="G7" s="8">
        <v>51.05</v>
      </c>
      <c r="H7" s="8">
        <v>267.92</v>
      </c>
    </row>
    <row r="8" spans="1:8" x14ac:dyDescent="0.25">
      <c r="D8" s="6">
        <v>6</v>
      </c>
      <c r="E8" s="7">
        <v>67</v>
      </c>
      <c r="F8" s="7">
        <v>13.396000199615957</v>
      </c>
      <c r="G8" s="8">
        <v>53.6</v>
      </c>
      <c r="H8" s="8">
        <v>214.32</v>
      </c>
    </row>
    <row r="9" spans="1:8" x14ac:dyDescent="0.25">
      <c r="D9" s="6">
        <v>7</v>
      </c>
      <c r="E9" s="7">
        <v>67</v>
      </c>
      <c r="F9" s="7">
        <v>10.716000159680844</v>
      </c>
      <c r="G9" s="8">
        <v>56.28</v>
      </c>
      <c r="H9" s="8">
        <v>158.04</v>
      </c>
    </row>
    <row r="10" spans="1:8" x14ac:dyDescent="0.25">
      <c r="D10" s="6">
        <v>8</v>
      </c>
      <c r="E10" s="7">
        <v>67</v>
      </c>
      <c r="F10" s="7">
        <v>7.9020001177489751</v>
      </c>
      <c r="G10" s="8">
        <v>59.1</v>
      </c>
      <c r="H10" s="8">
        <v>98.94</v>
      </c>
    </row>
    <row r="11" spans="1:8" x14ac:dyDescent="0.25">
      <c r="D11" s="6">
        <v>9</v>
      </c>
      <c r="E11" s="7">
        <v>67</v>
      </c>
      <c r="F11" s="7">
        <v>4.947000073716044</v>
      </c>
      <c r="G11" s="8">
        <v>62.05</v>
      </c>
      <c r="H11" s="8">
        <v>36.89</v>
      </c>
    </row>
    <row r="12" spans="1:8" x14ac:dyDescent="0.25">
      <c r="D12" s="6">
        <v>10</v>
      </c>
      <c r="E12" s="7">
        <v>38.734498240947723</v>
      </c>
      <c r="F12" s="7">
        <v>1.8445000274851919</v>
      </c>
      <c r="G12" s="8">
        <v>36.89</v>
      </c>
      <c r="H12" s="8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8601D-D256-45AD-8E6F-3426CC4B869E}">
  <sheetPr codeName="Hoja20"/>
  <dimension ref="A1:H12"/>
  <sheetViews>
    <sheetView workbookViewId="0">
      <selection activeCell="J19" sqref="J19"/>
    </sheetView>
  </sheetViews>
  <sheetFormatPr baseColWidth="10" defaultRowHeight="14.25" x14ac:dyDescent="0.25"/>
  <cols>
    <col min="1" max="1" width="20.7109375" style="6" customWidth="1"/>
    <col min="2" max="2" width="14.28515625" style="6" customWidth="1"/>
    <col min="3" max="4" width="11.42578125" style="6"/>
    <col min="5" max="5" width="14.7109375" style="7" customWidth="1"/>
    <col min="6" max="7" width="15.7109375" style="7" customWidth="1"/>
    <col min="8" max="8" width="16.7109375" style="7" customWidth="1"/>
    <col min="9" max="16384" width="11.42578125" style="6"/>
  </cols>
  <sheetData>
    <row r="1" spans="1:8" x14ac:dyDescent="0.25">
      <c r="A1" s="6" t="s">
        <v>3</v>
      </c>
      <c r="B1" s="6">
        <v>25000</v>
      </c>
      <c r="D1" s="6" t="s">
        <v>7</v>
      </c>
      <c r="E1" s="7" t="s">
        <v>0</v>
      </c>
      <c r="F1" s="7" t="s">
        <v>1</v>
      </c>
      <c r="G1" s="7" t="s">
        <v>10</v>
      </c>
      <c r="H1" s="7" t="s">
        <v>2</v>
      </c>
    </row>
    <row r="2" spans="1:8" x14ac:dyDescent="0.25">
      <c r="A2" s="6" t="s">
        <v>0</v>
      </c>
      <c r="B2" s="6">
        <v>3000</v>
      </c>
      <c r="D2" s="6">
        <v>0</v>
      </c>
      <c r="H2" s="7">
        <v>25000</v>
      </c>
    </row>
    <row r="3" spans="1:8" x14ac:dyDescent="0.25">
      <c r="A3" s="6" t="s">
        <v>9</v>
      </c>
      <c r="B3" s="6">
        <v>1.9999999552965164E-2</v>
      </c>
      <c r="D3" s="6">
        <v>1</v>
      </c>
      <c r="E3" s="7">
        <v>3000</v>
      </c>
      <c r="F3" s="7">
        <v>499.9999888241291</v>
      </c>
      <c r="G3" s="8">
        <v>2500</v>
      </c>
      <c r="H3" s="8">
        <v>22500</v>
      </c>
    </row>
    <row r="4" spans="1:8" x14ac:dyDescent="0.25">
      <c r="A4" s="6" t="s">
        <v>5</v>
      </c>
      <c r="B4" s="6">
        <v>10</v>
      </c>
      <c r="D4" s="6">
        <v>2</v>
      </c>
      <c r="E4" s="7">
        <v>3000</v>
      </c>
      <c r="F4" s="7">
        <v>449.99998994171619</v>
      </c>
      <c r="G4" s="8">
        <v>2550</v>
      </c>
      <c r="H4" s="8">
        <v>19950</v>
      </c>
    </row>
    <row r="5" spans="1:8" x14ac:dyDescent="0.25">
      <c r="D5" s="6">
        <v>3</v>
      </c>
      <c r="E5" s="7">
        <v>3000</v>
      </c>
      <c r="F5" s="7">
        <v>398.99999108165503</v>
      </c>
      <c r="G5" s="8">
        <v>2601</v>
      </c>
      <c r="H5" s="8">
        <v>17349</v>
      </c>
    </row>
    <row r="6" spans="1:8" x14ac:dyDescent="0.25">
      <c r="D6" s="6">
        <v>4</v>
      </c>
      <c r="E6" s="7">
        <v>3000</v>
      </c>
      <c r="F6" s="7">
        <v>346.97999224439263</v>
      </c>
      <c r="G6" s="8">
        <v>2653.02</v>
      </c>
      <c r="H6" s="8">
        <v>14695.98</v>
      </c>
    </row>
    <row r="7" spans="1:8" x14ac:dyDescent="0.25">
      <c r="D7" s="6">
        <v>5</v>
      </c>
      <c r="E7" s="7">
        <v>3000</v>
      </c>
      <c r="F7" s="7">
        <v>293.91959343038496</v>
      </c>
      <c r="G7" s="8">
        <v>2706.08</v>
      </c>
      <c r="H7" s="8">
        <v>11989.9</v>
      </c>
    </row>
    <row r="8" spans="1:8" x14ac:dyDescent="0.25">
      <c r="D8" s="6">
        <v>6</v>
      </c>
      <c r="E8" s="7">
        <v>3000</v>
      </c>
      <c r="F8" s="7">
        <v>239.79799464009702</v>
      </c>
      <c r="G8" s="8">
        <v>2760.2</v>
      </c>
      <c r="H8" s="8">
        <v>9229.7000000000007</v>
      </c>
    </row>
    <row r="9" spans="1:8" x14ac:dyDescent="0.25">
      <c r="D9" s="6">
        <v>7</v>
      </c>
      <c r="E9" s="7">
        <v>3000</v>
      </c>
      <c r="F9" s="7">
        <v>184.59399587400259</v>
      </c>
      <c r="G9" s="8">
        <v>2815.41</v>
      </c>
      <c r="H9" s="8">
        <v>6414.29</v>
      </c>
    </row>
    <row r="10" spans="1:8" x14ac:dyDescent="0.25">
      <c r="D10" s="6">
        <v>8</v>
      </c>
      <c r="E10" s="7">
        <v>3000</v>
      </c>
      <c r="F10" s="7">
        <v>128.28579713258893</v>
      </c>
      <c r="G10" s="8">
        <v>2871.71</v>
      </c>
      <c r="H10" s="8">
        <v>3542.58</v>
      </c>
    </row>
    <row r="11" spans="1:8" x14ac:dyDescent="0.25">
      <c r="D11" s="6">
        <v>9</v>
      </c>
      <c r="E11" s="7">
        <v>3000</v>
      </c>
      <c r="F11" s="7">
        <v>70.851598416343336</v>
      </c>
      <c r="G11" s="8">
        <v>2929.15</v>
      </c>
      <c r="H11" s="8">
        <v>613.42999999999995</v>
      </c>
    </row>
    <row r="12" spans="1:8" x14ac:dyDescent="0.25">
      <c r="D12" s="6">
        <v>10</v>
      </c>
      <c r="E12" s="7">
        <v>625.69858829975124</v>
      </c>
      <c r="F12" s="7">
        <v>12.26859972577542</v>
      </c>
      <c r="G12" s="8">
        <v>613.42999999999995</v>
      </c>
      <c r="H12" s="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8C3E6-B2A3-4286-9186-9D05C9E39441}">
  <sheetPr codeName="Hoja1"/>
  <dimension ref="A1:H14"/>
  <sheetViews>
    <sheetView zoomScale="130" zoomScaleNormal="130" workbookViewId="0">
      <selection activeCell="H11" sqref="H11"/>
    </sheetView>
  </sheetViews>
  <sheetFormatPr baseColWidth="10" defaultRowHeight="15" x14ac:dyDescent="0.25"/>
  <cols>
    <col min="1" max="1" width="17.140625" style="1" customWidth="1"/>
    <col min="2" max="2" width="13.28515625" style="1" customWidth="1"/>
    <col min="3" max="5" width="11.42578125" style="1" customWidth="1"/>
    <col min="6" max="6" width="11.42578125" style="1"/>
    <col min="7" max="7" width="13.85546875" style="1" customWidth="1"/>
    <col min="8" max="8" width="13.42578125" style="1" customWidth="1"/>
    <col min="9" max="16384" width="11.42578125" style="1"/>
  </cols>
  <sheetData>
    <row r="1" spans="1:8" x14ac:dyDescent="0.25">
      <c r="A1" s="1" t="s">
        <v>3</v>
      </c>
      <c r="B1" s="5">
        <v>25000</v>
      </c>
      <c r="D1" s="1" t="s">
        <v>7</v>
      </c>
      <c r="E1" s="1" t="s">
        <v>0</v>
      </c>
      <c r="F1" s="1" t="s">
        <v>1</v>
      </c>
      <c r="G1" s="1" t="s">
        <v>8</v>
      </c>
      <c r="H1" s="1" t="s">
        <v>2</v>
      </c>
    </row>
    <row r="2" spans="1:8" x14ac:dyDescent="0.25">
      <c r="A2" s="1" t="s">
        <v>0</v>
      </c>
      <c r="B2" s="5">
        <v>3000</v>
      </c>
      <c r="D2" s="1">
        <v>0</v>
      </c>
      <c r="E2" s="4"/>
      <c r="F2" s="4"/>
      <c r="G2" s="4"/>
      <c r="H2" s="4">
        <f>B1</f>
        <v>25000</v>
      </c>
    </row>
    <row r="3" spans="1:8" x14ac:dyDescent="0.25">
      <c r="A3" s="3" t="s">
        <v>4</v>
      </c>
      <c r="B3" s="2">
        <v>0.02</v>
      </c>
      <c r="D3" s="1">
        <v>1</v>
      </c>
      <c r="E3" s="4">
        <f t="shared" ref="E3:E11" si="0">$B$2</f>
        <v>3000</v>
      </c>
      <c r="F3" s="4">
        <f>H2*$B$3</f>
        <v>500</v>
      </c>
      <c r="G3" s="4">
        <f t="shared" ref="G3:G11" si="1">E3-F3</f>
        <v>2500</v>
      </c>
      <c r="H3" s="4">
        <f t="shared" ref="H3:H12" si="2">H2-G3</f>
        <v>22500</v>
      </c>
    </row>
    <row r="4" spans="1:8" x14ac:dyDescent="0.25">
      <c r="A4" s="1" t="s">
        <v>5</v>
      </c>
      <c r="B4" s="1">
        <f>(-LOG(1-((B1*$B3)/B2)))/LOG(1+$B3)</f>
        <v>9.2069377495746512</v>
      </c>
      <c r="D4" s="1">
        <v>2</v>
      </c>
      <c r="E4" s="4">
        <f t="shared" si="0"/>
        <v>3000</v>
      </c>
      <c r="F4" s="4">
        <f>H3*$B$3</f>
        <v>450</v>
      </c>
      <c r="G4" s="4">
        <f t="shared" si="1"/>
        <v>2550</v>
      </c>
      <c r="H4" s="4">
        <f t="shared" si="2"/>
        <v>19950</v>
      </c>
    </row>
    <row r="5" spans="1:8" x14ac:dyDescent="0.25">
      <c r="A5" s="1" t="s">
        <v>6</v>
      </c>
      <c r="B5" s="4">
        <f>H11*(1+$B$3)</f>
        <v>625.69750065535925</v>
      </c>
      <c r="D5" s="1">
        <v>3</v>
      </c>
      <c r="E5" s="4">
        <f t="shared" si="0"/>
        <v>3000</v>
      </c>
      <c r="F5" s="4">
        <f t="shared" ref="F5:F11" si="3">H4*$B$3</f>
        <v>399</v>
      </c>
      <c r="G5" s="4">
        <f t="shared" si="1"/>
        <v>2601</v>
      </c>
      <c r="H5" s="4">
        <f t="shared" si="2"/>
        <v>17349</v>
      </c>
    </row>
    <row r="6" spans="1:8" x14ac:dyDescent="0.25">
      <c r="D6" s="1">
        <v>4</v>
      </c>
      <c r="E6" s="4">
        <f t="shared" si="0"/>
        <v>3000</v>
      </c>
      <c r="F6" s="4">
        <f t="shared" si="3"/>
        <v>346.98</v>
      </c>
      <c r="G6" s="4">
        <f t="shared" si="1"/>
        <v>2653.02</v>
      </c>
      <c r="H6" s="4">
        <f t="shared" si="2"/>
        <v>14695.98</v>
      </c>
    </row>
    <row r="7" spans="1:8" x14ac:dyDescent="0.25">
      <c r="D7" s="1">
        <v>5</v>
      </c>
      <c r="E7" s="4">
        <f t="shared" si="0"/>
        <v>3000</v>
      </c>
      <c r="F7" s="4">
        <f t="shared" si="3"/>
        <v>293.9196</v>
      </c>
      <c r="G7" s="4">
        <f t="shared" si="1"/>
        <v>2706.0803999999998</v>
      </c>
      <c r="H7" s="4">
        <f t="shared" si="2"/>
        <v>11989.899600000001</v>
      </c>
    </row>
    <row r="8" spans="1:8" x14ac:dyDescent="0.25">
      <c r="D8" s="1">
        <v>6</v>
      </c>
      <c r="E8" s="4">
        <f t="shared" si="0"/>
        <v>3000</v>
      </c>
      <c r="F8" s="4">
        <f t="shared" si="3"/>
        <v>239.79799200000002</v>
      </c>
      <c r="G8" s="4">
        <f t="shared" si="1"/>
        <v>2760.2020080000002</v>
      </c>
      <c r="H8" s="4">
        <f t="shared" si="2"/>
        <v>9229.6975920000004</v>
      </c>
    </row>
    <row r="9" spans="1:8" x14ac:dyDescent="0.25">
      <c r="D9" s="1">
        <v>7</v>
      </c>
      <c r="E9" s="4">
        <f t="shared" si="0"/>
        <v>3000</v>
      </c>
      <c r="F9" s="4">
        <f t="shared" si="3"/>
        <v>184.59395184000002</v>
      </c>
      <c r="G9" s="4">
        <f t="shared" si="1"/>
        <v>2815.40604816</v>
      </c>
      <c r="H9" s="4">
        <f t="shared" si="2"/>
        <v>6414.2915438400005</v>
      </c>
    </row>
    <row r="10" spans="1:8" x14ac:dyDescent="0.25">
      <c r="D10" s="1">
        <v>8</v>
      </c>
      <c r="E10" s="4">
        <f t="shared" si="0"/>
        <v>3000</v>
      </c>
      <c r="F10" s="4">
        <f t="shared" si="3"/>
        <v>128.28583087680002</v>
      </c>
      <c r="G10" s="4">
        <f t="shared" si="1"/>
        <v>2871.7141691232</v>
      </c>
      <c r="H10" s="4">
        <f t="shared" si="2"/>
        <v>3542.5773747168005</v>
      </c>
    </row>
    <row r="11" spans="1:8" x14ac:dyDescent="0.25">
      <c r="D11" s="1">
        <v>9</v>
      </c>
      <c r="E11" s="4">
        <f t="shared" si="0"/>
        <v>3000</v>
      </c>
      <c r="F11" s="4">
        <f t="shared" si="3"/>
        <v>70.851547494336018</v>
      </c>
      <c r="G11" s="4">
        <f t="shared" si="1"/>
        <v>2929.148452505664</v>
      </c>
      <c r="H11" s="4">
        <f t="shared" si="2"/>
        <v>613.42892221113652</v>
      </c>
    </row>
    <row r="12" spans="1:8" x14ac:dyDescent="0.25">
      <c r="D12" s="1">
        <v>10</v>
      </c>
      <c r="E12" s="4">
        <f>B5</f>
        <v>625.69750065535925</v>
      </c>
      <c r="F12" s="4">
        <f>H11*$B$3</f>
        <v>12.268578444222731</v>
      </c>
      <c r="G12" s="4">
        <f>B5-F12</f>
        <v>613.42892221113652</v>
      </c>
      <c r="H12" s="4">
        <f t="shared" si="2"/>
        <v>0</v>
      </c>
    </row>
    <row r="14" spans="1:8" x14ac:dyDescent="0.25">
      <c r="B14" s="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Hoja21</vt:lpstr>
      <vt:lpstr>Hoja20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Suritx Hernandez</dc:creator>
  <cp:lastModifiedBy>Suritx Hernandez</cp:lastModifiedBy>
  <dcterms:created xsi:type="dcterms:W3CDTF">2019-02-20T17:47:30Z</dcterms:created>
  <dcterms:modified xsi:type="dcterms:W3CDTF">2019-03-10T21:32:33Z</dcterms:modified>
</cp:coreProperties>
</file>